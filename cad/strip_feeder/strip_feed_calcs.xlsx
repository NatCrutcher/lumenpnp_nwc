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a041a59f98cdcb/Dev2/LumenPnp/RefFeeder/"/>
    </mc:Choice>
  </mc:AlternateContent>
  <xr:revisionPtr revIDLastSave="27" documentId="8_{F4A1AE83-B7EE-4B6A-BDCB-61B987617043}" xr6:coauthVersionLast="47" xr6:coauthVersionMax="47" xr10:uidLastSave="{63B8E6D4-7BCA-4A60-A8C0-9B5FA8927BEC}"/>
  <bookViews>
    <workbookView xWindow="0" yWindow="1152" windowWidth="46116" windowHeight="18588" xr2:uid="{A0C728A8-9D75-49FE-A87A-05320B044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D23" i="1"/>
  <c r="E22" i="1"/>
  <c r="E21" i="1"/>
  <c r="D22" i="1"/>
  <c r="D21" i="1"/>
  <c r="E17" i="1"/>
  <c r="E16" i="1"/>
  <c r="E15" i="1"/>
  <c r="E14" i="1"/>
  <c r="E13" i="1"/>
  <c r="E12" i="1"/>
  <c r="D15" i="1"/>
  <c r="C17" i="1"/>
  <c r="C15" i="1"/>
  <c r="C13" i="1"/>
  <c r="B17" i="1"/>
  <c r="B14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<sst xmlns="http://schemas.openxmlformats.org/spreadsheetml/2006/main" count="8" uniqueCount="8">
  <si>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PLA Marble Shrink</t>
  </si>
  <si>
    <t>X</t>
  </si>
  <si>
    <t>Y</t>
  </si>
  <si>
    <t>Target</t>
  </si>
  <si>
    <t>Actual</t>
  </si>
  <si>
    <t>%Err</t>
  </si>
  <si>
    <t>Shrink %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</si>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</sst>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0" fontId="0" fillId="0" borderId="0" xfId="1" applyNumberFormat="1" applyFont="1"/>
    <xf numFmtId="166" fontId="0" fillId="0" borderId="0" xfId="1" applyNumberFormat="1" applyFont="1"/>
    <xf numFmtId="10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5AFE-F8AE-4215-A620-AC89A76770BE}">
  <dimension ref="A1:F23"/>
  <sheetViews>
    <sheetView tabSelected="1" workbookViewId="0">
      <selection activeCell="E23" sqref="E23"/>
    </sheetView>
  </sheetViews>
  <sheetFormatPr defaultRowHeight="14.4" x14ac:dyDescent="0.3"/>
  <sheetData>
    <row r="1" spans="1:6" x14ac:dyDescent="0.3">
      <c r="B1" s="3">
        <v>65</v>
      </c>
      <c r="C1" s="3">
        <v>66</v>
      </c>
      <c r="D1" s="3">
        <v>68</v>
      </c>
      <c r="E1" s="3">
        <v>70</v>
      </c>
      <c r="F1" s="3">
        <v>72</v>
      </c>
    </row>
    <row r="2" spans="1:6" x14ac:dyDescent="0.3">
      <c r="A2" s="3">
        <v>3</v>
      </c>
      <c r="B2" s="1">
        <f>B$1/$A2</f>
        <v>21.666666666666668</v>
      </c>
      <c r="C2" s="2">
        <f t="shared" ref="C2:F9" si="0">C$1/$A2</f>
        <v>22</v>
      </c>
      <c r="D2" s="1">
        <f t="shared" si="0"/>
        <v>22.666666666666668</v>
      </c>
      <c r="E2" s="1">
        <f t="shared" si="0"/>
        <v>23.333333333333332</v>
      </c>
      <c r="F2" s="2">
        <f t="shared" si="0"/>
        <v>24</v>
      </c>
    </row>
    <row r="3" spans="1:6" x14ac:dyDescent="0.3">
      <c r="A3" s="3">
        <v>4</v>
      </c>
      <c r="B3" s="1">
        <f t="shared" ref="B3:B9" si="1">B$1/$A3</f>
        <v>16.25</v>
      </c>
      <c r="C3" s="1">
        <f t="shared" si="0"/>
        <v>16.5</v>
      </c>
      <c r="D3" s="2">
        <f t="shared" si="0"/>
        <v>17</v>
      </c>
      <c r="E3" s="1">
        <f t="shared" si="0"/>
        <v>17.5</v>
      </c>
      <c r="F3" s="2">
        <f t="shared" si="0"/>
        <v>18</v>
      </c>
    </row>
    <row r="4" spans="1:6" x14ac:dyDescent="0.3">
      <c r="A4" s="3">
        <v>5</v>
      </c>
      <c r="B4" s="2">
        <f t="shared" si="1"/>
        <v>13</v>
      </c>
      <c r="C4" s="1">
        <f t="shared" si="0"/>
        <v>13.2</v>
      </c>
      <c r="D4" s="1">
        <f t="shared" si="0"/>
        <v>13.6</v>
      </c>
      <c r="E4" s="2">
        <f t="shared" si="0"/>
        <v>14</v>
      </c>
      <c r="F4" s="1">
        <f t="shared" si="0"/>
        <v>14.4</v>
      </c>
    </row>
    <row r="5" spans="1:6" x14ac:dyDescent="0.3">
      <c r="A5" s="3">
        <v>6</v>
      </c>
      <c r="B5" s="1">
        <f t="shared" si="1"/>
        <v>10.833333333333334</v>
      </c>
      <c r="C5" s="2">
        <f t="shared" si="0"/>
        <v>11</v>
      </c>
      <c r="D5" s="1">
        <f t="shared" si="0"/>
        <v>11.333333333333334</v>
      </c>
      <c r="E5" s="1">
        <f t="shared" si="0"/>
        <v>11.666666666666666</v>
      </c>
      <c r="F5" s="2">
        <f t="shared" si="0"/>
        <v>12</v>
      </c>
    </row>
    <row r="6" spans="1:6" x14ac:dyDescent="0.3">
      <c r="A6" s="3">
        <v>7</v>
      </c>
      <c r="B6" s="1">
        <f t="shared" si="1"/>
        <v>9.2857142857142865</v>
      </c>
      <c r="C6" s="1">
        <f t="shared" si="0"/>
        <v>9.4285714285714288</v>
      </c>
      <c r="D6" s="1">
        <f t="shared" si="0"/>
        <v>9.7142857142857135</v>
      </c>
      <c r="E6" s="2">
        <f t="shared" si="0"/>
        <v>10</v>
      </c>
      <c r="F6" s="1">
        <f t="shared" si="0"/>
        <v>10.285714285714286</v>
      </c>
    </row>
    <row r="7" spans="1:6" x14ac:dyDescent="0.3">
      <c r="A7" s="3">
        <v>8</v>
      </c>
      <c r="B7" s="1">
        <f t="shared" si="1"/>
        <v>8.125</v>
      </c>
      <c r="C7" s="1">
        <f t="shared" si="0"/>
        <v>8.25</v>
      </c>
      <c r="D7" s="1">
        <f t="shared" si="0"/>
        <v>8.5</v>
      </c>
      <c r="E7" s="1">
        <f t="shared" si="0"/>
        <v>8.75</v>
      </c>
      <c r="F7" s="2">
        <f t="shared" si="0"/>
        <v>9</v>
      </c>
    </row>
    <row r="8" spans="1:6" x14ac:dyDescent="0.3">
      <c r="A8" s="3">
        <v>9</v>
      </c>
      <c r="B8" s="1">
        <f t="shared" si="1"/>
        <v>7.2222222222222223</v>
      </c>
      <c r="C8" s="1">
        <f t="shared" si="0"/>
        <v>7.333333333333333</v>
      </c>
      <c r="D8" s="1">
        <f t="shared" si="0"/>
        <v>7.5555555555555554</v>
      </c>
      <c r="E8" s="1">
        <f t="shared" si="0"/>
        <v>7.7777777777777777</v>
      </c>
      <c r="F8" s="2">
        <f t="shared" si="0"/>
        <v>8</v>
      </c>
    </row>
    <row r="9" spans="1:6" x14ac:dyDescent="0.3">
      <c r="A9" s="3">
        <v>10</v>
      </c>
      <c r="B9" s="1">
        <f t="shared" si="1"/>
        <v>6.5</v>
      </c>
      <c r="C9" s="1">
        <f t="shared" si="0"/>
        <v>6.6</v>
      </c>
      <c r="D9" s="1">
        <f t="shared" si="0"/>
        <v>6.8</v>
      </c>
      <c r="E9" s="2">
        <f t="shared" si="0"/>
        <v>7</v>
      </c>
      <c r="F9" s="1">
        <f t="shared" si="0"/>
        <v>7.2</v>
      </c>
    </row>
    <row r="11" spans="1:6" x14ac:dyDescent="0.3">
      <c r="B11" s="3">
        <v>9</v>
      </c>
      <c r="C11" s="3">
        <v>10</v>
      </c>
      <c r="D11" s="3">
        <v>12</v>
      </c>
      <c r="E11" s="3">
        <v>15</v>
      </c>
      <c r="F11" s="3"/>
    </row>
    <row r="12" spans="1:6" x14ac:dyDescent="0.3">
      <c r="A12" s="3">
        <v>15</v>
      </c>
      <c r="E12">
        <f t="shared" ref="E12:E17" si="2">$A12/E$11</f>
        <v>1</v>
      </c>
    </row>
    <row r="13" spans="1:6" x14ac:dyDescent="0.3">
      <c r="A13" s="3">
        <v>30</v>
      </c>
      <c r="C13">
        <f>$A13/C$11</f>
        <v>3</v>
      </c>
      <c r="E13">
        <f t="shared" si="2"/>
        <v>2</v>
      </c>
    </row>
    <row r="14" spans="1:6" x14ac:dyDescent="0.3">
      <c r="A14" s="3">
        <v>45</v>
      </c>
      <c r="B14">
        <f>$A14/B$11</f>
        <v>5</v>
      </c>
      <c r="E14">
        <f t="shared" si="2"/>
        <v>3</v>
      </c>
    </row>
    <row r="15" spans="1:6" x14ac:dyDescent="0.3">
      <c r="A15" s="3">
        <v>60</v>
      </c>
      <c r="C15">
        <f>$A15/C$11</f>
        <v>6</v>
      </c>
      <c r="D15">
        <f>$A15/D$11</f>
        <v>5</v>
      </c>
      <c r="E15">
        <f t="shared" si="2"/>
        <v>4</v>
      </c>
    </row>
    <row r="16" spans="1:6" x14ac:dyDescent="0.3">
      <c r="A16" s="3">
        <v>75</v>
      </c>
      <c r="E16">
        <f t="shared" si="2"/>
        <v>5</v>
      </c>
    </row>
    <row r="17" spans="1:5" x14ac:dyDescent="0.3">
      <c r="A17" s="3">
        <v>90</v>
      </c>
      <c r="B17">
        <f>$A17/B$11</f>
        <v>10</v>
      </c>
      <c r="C17">
        <f>$A17/C$11</f>
        <v>9</v>
      </c>
      <c r="E17">
        <f t="shared" si="2"/>
        <v>6</v>
      </c>
    </row>
    <row r="19" spans="1:5" x14ac:dyDescent="0.3">
      <c r="A19" t="s">
        <v>0</v>
      </c>
    </row>
    <row r="20" spans="1:5" x14ac:dyDescent="0.3">
      <c r="B20" t="s">
        <v>3</v>
      </c>
      <c r="C20" t="s">
        <v>4</v>
      </c>
      <c r="D20" t="s">
        <v>5</v>
      </c>
      <c r="E20" t="s">
        <v>6</v>
      </c>
    </row>
    <row r="21" spans="1:5" x14ac:dyDescent="0.3">
      <c r="A21" t="s">
        <v>1</v>
      </c>
      <c r="B21">
        <v>54.8</v>
      </c>
      <c r="C21">
        <v>54.65</v>
      </c>
      <c r="D21" s="4">
        <f>(C21-B21)/B21</f>
        <v>-2.7372262773722369E-3</v>
      </c>
      <c r="E21" s="5">
        <f>C21/B21</f>
        <v>0.99726277372262773</v>
      </c>
    </row>
    <row r="22" spans="1:5" x14ac:dyDescent="0.3">
      <c r="A22" t="s">
        <v>2</v>
      </c>
      <c r="B22">
        <v>120</v>
      </c>
      <c r="C22">
        <v>119.71</v>
      </c>
      <c r="D22" s="4">
        <f>(C22-B22)/B22</f>
        <v>-2.4166666666667188E-3</v>
      </c>
      <c r="E22" s="5">
        <f>C22/B22</f>
        <v>0.99758333333333327</v>
      </c>
    </row>
    <row r="23" spans="1:5" x14ac:dyDescent="0.3">
      <c r="A23" t="s">
        <v>7</v>
      </c>
      <c r="D23" s="6">
        <f>AVERAGE(D21:D22)</f>
        <v>-2.5769464720194779E-3</v>
      </c>
      <c r="E23" s="7">
        <f>AVERAGE(E21:E22)</f>
        <v>0.99742305352798044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Crutcher</dc:creator>
  <cp:lastModifiedBy>Nathaniel Crutcher</cp:lastModifiedBy>
  <dcterms:created xsi:type="dcterms:W3CDTF">2026-07-24T16:49:10Z</dcterms:created>
  <dcterms:modified xsi:type="dcterms:W3CDTF">2026-07-26T01:49:31Z</dcterms:modified>
</cp:coreProperties>
</file>