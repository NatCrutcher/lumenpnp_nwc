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a041a59f98cdcb/Dev2/LumenPnp/lumenpnp_git/docs/"/>
    </mc:Choice>
  </mc:AlternateContent>
  <xr:revisionPtr revIDLastSave="0" documentId="8_{A80CF14C-CBC7-4A91-8C90-76380E9C9C76}" xr6:coauthVersionLast="47" xr6:coauthVersionMax="47" xr10:uidLastSave="{00000000-0000-0000-0000-000000000000}"/>
  <bookViews>
    <workbookView xWindow="16836" yWindow="1188" windowWidth="19500" windowHeight="21720" xr2:uid="{F9DACF89-47F0-428D-8203-AA9683E9A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1" l="1"/>
  <c r="H15" i="1"/>
  <c r="E35" i="1"/>
  <c r="E33" i="1"/>
  <c r="E31" i="1"/>
  <c r="E29" i="1"/>
  <c r="E27" i="1"/>
  <c r="E25" i="1"/>
  <c r="E23" i="1"/>
  <c r="E21" i="1"/>
  <c r="E19" i="1"/>
  <c r="F35" i="1"/>
  <c r="F33" i="1"/>
  <c r="F31" i="1"/>
  <c r="F29" i="1"/>
  <c r="F27" i="1"/>
  <c r="F25" i="1"/>
  <c r="F23" i="1"/>
  <c r="F21" i="1"/>
  <c r="F19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H12" i="1"/>
  <c r="H11" i="1"/>
  <c r="H10" i="1"/>
  <c r="G2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D35" i="1"/>
  <c r="D33" i="1"/>
  <c r="D31" i="1"/>
  <c r="D29" i="1"/>
  <c r="D27" i="1"/>
  <c r="D25" i="1"/>
  <c r="D23" i="1"/>
  <c r="D21" i="1"/>
  <c r="D19" i="1"/>
  <c r="D17" i="1"/>
  <c r="D16" i="1"/>
  <c r="E17" i="1" s="1"/>
  <c r="D15" i="1"/>
  <c r="E16" i="1" s="1"/>
  <c r="D14" i="1"/>
  <c r="E15" i="1" s="1"/>
  <c r="D13" i="1"/>
  <c r="E14" i="1" s="1"/>
  <c r="D12" i="1"/>
  <c r="E13" i="1" s="1"/>
  <c r="D11" i="1"/>
  <c r="E12" i="1" s="1"/>
  <c r="D10" i="1"/>
  <c r="E11" i="1" s="1"/>
  <c r="D9" i="1"/>
  <c r="E10" i="1" s="1"/>
  <c r="D8" i="1"/>
  <c r="E9" i="1" s="1"/>
  <c r="D7" i="1"/>
  <c r="E8" i="1" s="1"/>
  <c r="D6" i="1"/>
  <c r="E7" i="1" s="1"/>
  <c r="D5" i="1"/>
  <c r="E6" i="1" s="1"/>
  <c r="D4" i="1"/>
  <c r="E5" i="1" s="1"/>
  <c r="D3" i="1"/>
  <c r="E4" i="1" s="1"/>
  <c r="D2" i="1"/>
  <c r="E3" i="1" s="1"/>
  <c r="B3" i="1"/>
  <c r="G3" i="1" l="1"/>
  <c r="G4" i="1" l="1"/>
  <c r="G5" i="1" l="1"/>
  <c r="G6" i="1" l="1"/>
  <c r="G7" i="1" l="1"/>
  <c r="G8" i="1" l="1"/>
  <c r="G9" i="1" l="1"/>
  <c r="G10" i="1" l="1"/>
  <c r="G11" i="1" l="1"/>
  <c r="G12" i="1" l="1"/>
  <c r="G14" i="1" l="1"/>
  <c r="G15" i="1" l="1"/>
  <c r="G16" i="1" l="1"/>
  <c r="G17" i="1" l="1"/>
  <c r="G19" i="1" l="1"/>
  <c r="G21" i="1" l="1"/>
  <c r="G23" i="1" l="1"/>
  <c r="G25" i="1" l="1"/>
  <c r="G27" i="1" l="1"/>
  <c r="G29" i="1" l="1"/>
  <c r="G31" i="1" l="1"/>
  <c r="G33" i="1" l="1"/>
  <c r="G35" i="1" l="1"/>
</calcChain>
</file>

<file path=xl/sharedStrings.xml><?xml version="1.0" encoding="utf-8"?>
<sst xmlns="http://schemas.openxmlformats.org/spreadsheetml/2006/main" count="8" uniqueCount="8">
  <si>
    <t>DTI (mils)</t>
  </si>
  <si>
    <t>DRO Z (mm)</t>
  </si>
  <si>
    <t>Z Delta (mm)</t>
  </si>
  <si>
    <t>DTI (mm)</t>
  </si>
  <si>
    <t>DTI Delta (mm)</t>
  </si>
  <si>
    <t>Err (mm)</t>
  </si>
  <si>
    <t>Eff Z (mm)</t>
  </si>
  <si>
    <t>Hyst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</si>
</sst>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17EB-1CF5-4122-96F1-95B6CBE986EC}">
  <dimension ref="A1:H44"/>
  <sheetViews>
    <sheetView tabSelected="1" workbookViewId="0">
      <selection activeCell="H17" sqref="H17"/>
    </sheetView>
  </sheetViews>
  <sheetFormatPr defaultRowHeight="14.4" x14ac:dyDescent="0.3"/>
  <cols>
    <col min="3" max="3" width="6.88671875" customWidth="1"/>
    <col min="4" max="4" width="6.77734375" customWidth="1"/>
  </cols>
  <sheetData>
    <row r="1" spans="1:8" s="3" customFormat="1" ht="28.8" x14ac:dyDescent="0.3">
      <c r="A1" s="3" t="s">
        <v>1</v>
      </c>
      <c r="B1" s="3" t="s">
        <v>2</v>
      </c>
      <c r="C1" s="3" t="s">
        <v>0</v>
      </c>
      <c r="D1" s="3" t="s">
        <v>3</v>
      </c>
      <c r="E1" s="3" t="s">
        <v>4</v>
      </c>
      <c r="F1" s="3" t="s">
        <v>6</v>
      </c>
      <c r="G1" s="3" t="s">
        <v>5</v>
      </c>
      <c r="H1" s="3" t="s">
        <v>7</v>
      </c>
    </row>
    <row r="2" spans="1:8" x14ac:dyDescent="0.3">
      <c r="A2" s="1">
        <v>8.31</v>
      </c>
      <c r="C2" s="2">
        <v>0.75</v>
      </c>
      <c r="D2" s="1">
        <f>C2*0.0254</f>
        <v>1.9049999999999997E-2</v>
      </c>
      <c r="F2" s="1">
        <f>(8.31+0.019)-D2</f>
        <v>8.3099500000000006</v>
      </c>
      <c r="G2" s="1">
        <f>F2-A2</f>
        <v>-4.9999999999883471E-5</v>
      </c>
    </row>
    <row r="3" spans="1:8" x14ac:dyDescent="0.3">
      <c r="A3" s="1">
        <v>8.3000000000000007</v>
      </c>
      <c r="B3" s="4">
        <f>A3-A2</f>
        <v>-9.9999999999997868E-3</v>
      </c>
      <c r="C3" s="2">
        <v>0.75</v>
      </c>
      <c r="D3" s="1">
        <f t="shared" ref="D3:D35" si="0">C3*0.0254</f>
        <v>1.9049999999999997E-2</v>
      </c>
      <c r="E3" s="1">
        <f>D2-D3</f>
        <v>0</v>
      </c>
      <c r="F3" s="1">
        <f t="shared" ref="F3:F35" si="1">(8.31+0.019)-D3</f>
        <v>8.3099500000000006</v>
      </c>
      <c r="G3" s="1">
        <f t="shared" ref="G3:G35" si="2">F3-A3</f>
        <v>9.9499999999999034E-3</v>
      </c>
    </row>
    <row r="4" spans="1:8" x14ac:dyDescent="0.3">
      <c r="A4" s="1">
        <v>8.2899999999999991</v>
      </c>
      <c r="B4" s="4">
        <f t="shared" ref="B4:B35" si="3">A4-A3</f>
        <v>-1.0000000000001563E-2</v>
      </c>
      <c r="C4" s="2">
        <v>0.75</v>
      </c>
      <c r="D4" s="1">
        <f t="shared" si="0"/>
        <v>1.9049999999999997E-2</v>
      </c>
      <c r="E4" s="1">
        <f t="shared" ref="E4:E35" si="4">D3-D4</f>
        <v>0</v>
      </c>
      <c r="F4" s="1">
        <f t="shared" si="1"/>
        <v>8.3099500000000006</v>
      </c>
      <c r="G4" s="1">
        <f t="shared" si="2"/>
        <v>1.9950000000001467E-2</v>
      </c>
    </row>
    <row r="5" spans="1:8" x14ac:dyDescent="0.3">
      <c r="A5" s="1">
        <v>8.2799999999999994</v>
      </c>
      <c r="B5" s="4">
        <f t="shared" si="3"/>
        <v>-9.9999999999997868E-3</v>
      </c>
      <c r="C5" s="2">
        <v>1.9</v>
      </c>
      <c r="D5" s="1">
        <f t="shared" si="0"/>
        <v>4.8259999999999997E-2</v>
      </c>
      <c r="E5" s="1">
        <f t="shared" si="4"/>
        <v>-2.921E-2</v>
      </c>
      <c r="F5" s="1">
        <f t="shared" si="1"/>
        <v>8.2807399999999998</v>
      </c>
      <c r="G5" s="1">
        <f t="shared" si="2"/>
        <v>7.40000000000407E-4</v>
      </c>
    </row>
    <row r="6" spans="1:8" x14ac:dyDescent="0.3">
      <c r="A6" s="1">
        <v>8.18</v>
      </c>
      <c r="B6" s="4">
        <f t="shared" si="3"/>
        <v>-9.9999999999999645E-2</v>
      </c>
      <c r="C6" s="2">
        <v>5.6</v>
      </c>
      <c r="D6" s="1">
        <f t="shared" si="0"/>
        <v>0.14223999999999998</v>
      </c>
      <c r="E6" s="1">
        <f t="shared" si="4"/>
        <v>-9.397999999999998E-2</v>
      </c>
      <c r="F6" s="1">
        <f t="shared" si="1"/>
        <v>8.1867600000000014</v>
      </c>
      <c r="G6" s="1">
        <f t="shared" si="2"/>
        <v>6.7600000000016536E-3</v>
      </c>
    </row>
    <row r="7" spans="1:8" x14ac:dyDescent="0.3">
      <c r="A7" s="1">
        <v>8.08</v>
      </c>
      <c r="B7" s="4">
        <f t="shared" si="3"/>
        <v>-9.9999999999999645E-2</v>
      </c>
      <c r="C7" s="2">
        <v>9.4</v>
      </c>
      <c r="D7" s="1">
        <f t="shared" si="0"/>
        <v>0.23876</v>
      </c>
      <c r="E7" s="1">
        <f t="shared" si="4"/>
        <v>-9.6520000000000022E-2</v>
      </c>
      <c r="F7" s="1">
        <f t="shared" si="1"/>
        <v>8.0902400000000014</v>
      </c>
      <c r="G7" s="1">
        <f t="shared" si="2"/>
        <v>1.0240000000001359E-2</v>
      </c>
    </row>
    <row r="8" spans="1:8" x14ac:dyDescent="0.3">
      <c r="A8" s="1">
        <v>7.98</v>
      </c>
      <c r="B8" s="4">
        <f t="shared" si="3"/>
        <v>-9.9999999999999645E-2</v>
      </c>
      <c r="C8" s="2">
        <v>13.4</v>
      </c>
      <c r="D8" s="1">
        <f t="shared" si="0"/>
        <v>0.34036</v>
      </c>
      <c r="E8" s="1">
        <f t="shared" si="4"/>
        <v>-0.1016</v>
      </c>
      <c r="F8" s="1">
        <f t="shared" si="1"/>
        <v>7.9886400000000002</v>
      </c>
      <c r="G8" s="1">
        <f t="shared" si="2"/>
        <v>8.639999999999759E-3</v>
      </c>
    </row>
    <row r="9" spans="1:8" x14ac:dyDescent="0.3">
      <c r="A9" s="1">
        <v>7.88</v>
      </c>
      <c r="B9" s="4">
        <f t="shared" si="3"/>
        <v>-0.10000000000000053</v>
      </c>
      <c r="C9" s="2">
        <v>17.600000000000001</v>
      </c>
      <c r="D9" s="1">
        <f t="shared" si="0"/>
        <v>0.44703999999999999</v>
      </c>
      <c r="E9" s="1">
        <f t="shared" si="4"/>
        <v>-0.10668</v>
      </c>
      <c r="F9" s="1">
        <f t="shared" si="1"/>
        <v>7.8819600000000003</v>
      </c>
      <c r="G9" s="1">
        <f t="shared" si="2"/>
        <v>1.9600000000004059E-3</v>
      </c>
    </row>
    <row r="10" spans="1:8" x14ac:dyDescent="0.3">
      <c r="A10" s="1">
        <v>7.98</v>
      </c>
      <c r="B10" s="5">
        <f t="shared" si="3"/>
        <v>0.10000000000000053</v>
      </c>
      <c r="C10" s="2">
        <v>14.45</v>
      </c>
      <c r="D10" s="1">
        <f t="shared" si="0"/>
        <v>0.36702999999999997</v>
      </c>
      <c r="E10" s="1">
        <f t="shared" si="4"/>
        <v>8.0010000000000026E-2</v>
      </c>
      <c r="F10" s="1">
        <f t="shared" si="1"/>
        <v>7.9619700000000009</v>
      </c>
      <c r="G10" s="1">
        <f t="shared" si="2"/>
        <v>-1.8029999999999546E-2</v>
      </c>
      <c r="H10" s="1">
        <f>D10-D8</f>
        <v>2.6669999999999972E-2</v>
      </c>
    </row>
    <row r="11" spans="1:8" x14ac:dyDescent="0.3">
      <c r="A11" s="1">
        <v>8.08</v>
      </c>
      <c r="B11" s="5">
        <f t="shared" si="3"/>
        <v>9.9999999999999645E-2</v>
      </c>
      <c r="C11" s="2">
        <v>10.75</v>
      </c>
      <c r="D11" s="1">
        <f t="shared" si="0"/>
        <v>0.27305000000000001</v>
      </c>
      <c r="E11" s="1">
        <f t="shared" si="4"/>
        <v>9.3979999999999952E-2</v>
      </c>
      <c r="F11" s="1">
        <f t="shared" si="1"/>
        <v>8.0559500000000011</v>
      </c>
      <c r="G11" s="1">
        <f t="shared" si="2"/>
        <v>-2.4049999999999017E-2</v>
      </c>
      <c r="H11" s="1">
        <f>D11-D7</f>
        <v>3.4290000000000015E-2</v>
      </c>
    </row>
    <row r="12" spans="1:8" x14ac:dyDescent="0.3">
      <c r="A12" s="1">
        <v>8.2799999999999994</v>
      </c>
      <c r="B12" s="5">
        <f t="shared" si="3"/>
        <v>0.19999999999999929</v>
      </c>
      <c r="C12" s="2">
        <v>3.6</v>
      </c>
      <c r="D12" s="1">
        <f t="shared" si="0"/>
        <v>9.1439999999999994E-2</v>
      </c>
      <c r="E12" s="1">
        <f t="shared" si="4"/>
        <v>0.18161000000000002</v>
      </c>
      <c r="F12" s="1">
        <f t="shared" si="1"/>
        <v>8.2375600000000002</v>
      </c>
      <c r="G12" s="1">
        <f t="shared" si="2"/>
        <v>-4.2439999999999145E-2</v>
      </c>
      <c r="H12" s="1">
        <f>D12-D5</f>
        <v>4.3179999999999996E-2</v>
      </c>
    </row>
    <row r="13" spans="1:8" x14ac:dyDescent="0.3">
      <c r="A13" s="1">
        <v>8.3800000000000008</v>
      </c>
      <c r="B13" s="5">
        <f t="shared" si="3"/>
        <v>0.10000000000000142</v>
      </c>
      <c r="C13" s="2"/>
      <c r="D13" s="1">
        <f t="shared" si="0"/>
        <v>0</v>
      </c>
      <c r="E13" s="1">
        <f t="shared" si="4"/>
        <v>9.1439999999999994E-2</v>
      </c>
      <c r="F13" s="1">
        <f t="shared" si="1"/>
        <v>8.3290000000000006</v>
      </c>
      <c r="G13" s="1"/>
    </row>
    <row r="14" spans="1:8" x14ac:dyDescent="0.3">
      <c r="A14" s="1">
        <v>8.18</v>
      </c>
      <c r="B14" s="4">
        <f t="shared" si="3"/>
        <v>-0.20000000000000107</v>
      </c>
      <c r="C14" s="2">
        <v>6.1</v>
      </c>
      <c r="D14" s="1">
        <f t="shared" si="0"/>
        <v>0.15493999999999999</v>
      </c>
      <c r="E14" s="1">
        <f t="shared" si="4"/>
        <v>-0.15493999999999999</v>
      </c>
      <c r="F14" s="1">
        <f t="shared" si="1"/>
        <v>8.1740600000000008</v>
      </c>
      <c r="G14" s="1">
        <f t="shared" si="2"/>
        <v>-5.9399999999989461E-3</v>
      </c>
    </row>
    <row r="15" spans="1:8" x14ac:dyDescent="0.3">
      <c r="A15" s="1">
        <v>8.08</v>
      </c>
      <c r="B15" s="4">
        <f t="shared" si="3"/>
        <v>-9.9999999999999645E-2</v>
      </c>
      <c r="C15" s="2">
        <v>9.8000000000000007</v>
      </c>
      <c r="D15" s="1">
        <f t="shared" si="0"/>
        <v>0.24892</v>
      </c>
      <c r="E15" s="1">
        <f t="shared" si="4"/>
        <v>-9.3980000000000008E-2</v>
      </c>
      <c r="F15" s="1">
        <f t="shared" si="1"/>
        <v>8.0800800000000006</v>
      </c>
      <c r="G15" s="1">
        <f t="shared" si="2"/>
        <v>8.0000000000524096E-5</v>
      </c>
      <c r="H15" s="1">
        <f>D15-D11</f>
        <v>-2.4130000000000013E-2</v>
      </c>
    </row>
    <row r="16" spans="1:8" x14ac:dyDescent="0.3">
      <c r="A16" s="1">
        <v>7.98</v>
      </c>
      <c r="B16" s="4">
        <f t="shared" si="3"/>
        <v>-9.9999999999999645E-2</v>
      </c>
      <c r="C16" s="2">
        <v>13.6</v>
      </c>
      <c r="D16" s="1">
        <f t="shared" si="0"/>
        <v>0.34543999999999997</v>
      </c>
      <c r="E16" s="1">
        <f t="shared" si="4"/>
        <v>-9.6519999999999967E-2</v>
      </c>
      <c r="F16" s="1">
        <f t="shared" si="1"/>
        <v>7.9835600000000007</v>
      </c>
      <c r="G16" s="1">
        <f t="shared" si="2"/>
        <v>3.5600000000002296E-3</v>
      </c>
      <c r="H16" s="1">
        <f>D16-D10</f>
        <v>-2.1589999999999998E-2</v>
      </c>
    </row>
    <row r="17" spans="1:8" x14ac:dyDescent="0.3">
      <c r="A17" s="1">
        <v>7.88</v>
      </c>
      <c r="B17" s="4">
        <f t="shared" si="3"/>
        <v>-0.10000000000000053</v>
      </c>
      <c r="C17" s="2">
        <v>17.75</v>
      </c>
      <c r="D17" s="1">
        <f t="shared" si="0"/>
        <v>0.45084999999999997</v>
      </c>
      <c r="E17" s="1">
        <f t="shared" si="4"/>
        <v>-0.10541</v>
      </c>
      <c r="F17" s="1">
        <f t="shared" si="1"/>
        <v>7.8781500000000007</v>
      </c>
      <c r="G17" s="1">
        <f t="shared" si="2"/>
        <v>-1.8499999999992411E-3</v>
      </c>
      <c r="H17" s="1"/>
    </row>
    <row r="18" spans="1:8" x14ac:dyDescent="0.3">
      <c r="A18" s="1">
        <v>8.8800000000000008</v>
      </c>
      <c r="B18" s="5">
        <f t="shared" si="3"/>
        <v>1.0000000000000009</v>
      </c>
      <c r="C18" s="2"/>
      <c r="D18" s="1"/>
      <c r="E18" s="1"/>
      <c r="F18" s="1"/>
      <c r="G18" s="1"/>
    </row>
    <row r="19" spans="1:8" x14ac:dyDescent="0.3">
      <c r="A19" s="1">
        <v>7.88</v>
      </c>
      <c r="B19" s="4">
        <f t="shared" si="3"/>
        <v>-1.0000000000000009</v>
      </c>
      <c r="C19" s="2">
        <v>17.8</v>
      </c>
      <c r="D19" s="1">
        <f t="shared" si="0"/>
        <v>0.45212000000000002</v>
      </c>
      <c r="E19" s="1">
        <f>D17-D19</f>
        <v>-1.2700000000000489E-3</v>
      </c>
      <c r="F19" s="1">
        <f t="shared" si="1"/>
        <v>7.8768800000000008</v>
      </c>
      <c r="G19" s="1">
        <f t="shared" si="2"/>
        <v>-3.1199999999991235E-3</v>
      </c>
    </row>
    <row r="20" spans="1:8" x14ac:dyDescent="0.3">
      <c r="A20" s="1">
        <v>8.8800000000000008</v>
      </c>
      <c r="B20" s="5">
        <f t="shared" si="3"/>
        <v>1.0000000000000009</v>
      </c>
      <c r="C20" s="2"/>
      <c r="D20" s="1"/>
      <c r="E20" s="1"/>
      <c r="F20" s="1"/>
      <c r="G20" s="1"/>
    </row>
    <row r="21" spans="1:8" x14ac:dyDescent="0.3">
      <c r="A21" s="1">
        <v>7.88</v>
      </c>
      <c r="B21" s="4">
        <f t="shared" si="3"/>
        <v>-1.0000000000000009</v>
      </c>
      <c r="C21" s="2">
        <v>17.899999999999999</v>
      </c>
      <c r="D21" s="1">
        <f t="shared" si="0"/>
        <v>0.45465999999999995</v>
      </c>
      <c r="E21" s="1">
        <f>D19-D21</f>
        <v>-2.5399999999999312E-3</v>
      </c>
      <c r="F21" s="1">
        <f t="shared" si="1"/>
        <v>7.874340000000001</v>
      </c>
      <c r="G21" s="1">
        <f t="shared" si="2"/>
        <v>-5.6599999999988881E-3</v>
      </c>
    </row>
    <row r="22" spans="1:8" x14ac:dyDescent="0.3">
      <c r="A22" s="1">
        <v>8.8800000000000008</v>
      </c>
      <c r="B22" s="5">
        <f t="shared" si="3"/>
        <v>1.0000000000000009</v>
      </c>
      <c r="C22" s="2"/>
      <c r="D22" s="1"/>
      <c r="E22" s="1"/>
      <c r="F22" s="1"/>
      <c r="G22" s="1"/>
    </row>
    <row r="23" spans="1:8" x14ac:dyDescent="0.3">
      <c r="A23" s="1">
        <v>7.88</v>
      </c>
      <c r="B23" s="4">
        <f t="shared" si="3"/>
        <v>-1.0000000000000009</v>
      </c>
      <c r="C23" s="2">
        <v>18</v>
      </c>
      <c r="D23" s="1">
        <f t="shared" si="0"/>
        <v>0.4572</v>
      </c>
      <c r="E23" s="1">
        <f>D21-D23</f>
        <v>-2.5400000000000422E-3</v>
      </c>
      <c r="F23" s="1">
        <f t="shared" si="1"/>
        <v>7.8718000000000004</v>
      </c>
      <c r="G23" s="1">
        <f t="shared" si="2"/>
        <v>-8.199999999999541E-3</v>
      </c>
    </row>
    <row r="24" spans="1:8" x14ac:dyDescent="0.3">
      <c r="A24" s="1">
        <v>8.8800000000000008</v>
      </c>
      <c r="B24" s="5">
        <f t="shared" si="3"/>
        <v>1.0000000000000009</v>
      </c>
      <c r="C24" s="2"/>
      <c r="D24" s="1"/>
      <c r="E24" s="1"/>
      <c r="F24" s="1"/>
      <c r="G24" s="1"/>
    </row>
    <row r="25" spans="1:8" x14ac:dyDescent="0.3">
      <c r="A25" s="1">
        <v>7.88</v>
      </c>
      <c r="B25" s="4">
        <f t="shared" si="3"/>
        <v>-1.0000000000000009</v>
      </c>
      <c r="C25" s="2">
        <v>18</v>
      </c>
      <c r="D25" s="1">
        <f t="shared" si="0"/>
        <v>0.4572</v>
      </c>
      <c r="E25" s="1">
        <f>D23-D25</f>
        <v>0</v>
      </c>
      <c r="F25" s="1">
        <f t="shared" si="1"/>
        <v>7.8718000000000004</v>
      </c>
      <c r="G25" s="1">
        <f t="shared" si="2"/>
        <v>-8.199999999999541E-3</v>
      </c>
    </row>
    <row r="26" spans="1:8" x14ac:dyDescent="0.3">
      <c r="A26" s="1">
        <v>8.8800000000000008</v>
      </c>
      <c r="B26" s="5">
        <f t="shared" si="3"/>
        <v>1.0000000000000009</v>
      </c>
      <c r="C26" s="2"/>
      <c r="D26" s="1"/>
      <c r="E26" s="1"/>
      <c r="F26" s="1"/>
      <c r="G26" s="1"/>
    </row>
    <row r="27" spans="1:8" x14ac:dyDescent="0.3">
      <c r="A27" s="1">
        <v>7.88</v>
      </c>
      <c r="B27" s="4">
        <f t="shared" si="3"/>
        <v>-1.0000000000000009</v>
      </c>
      <c r="C27" s="2">
        <v>18</v>
      </c>
      <c r="D27" s="1">
        <f t="shared" si="0"/>
        <v>0.4572</v>
      </c>
      <c r="E27" s="1">
        <f>D25-D27</f>
        <v>0</v>
      </c>
      <c r="F27" s="1">
        <f t="shared" si="1"/>
        <v>7.8718000000000004</v>
      </c>
      <c r="G27" s="1">
        <f t="shared" si="2"/>
        <v>-8.199999999999541E-3</v>
      </c>
    </row>
    <row r="28" spans="1:8" x14ac:dyDescent="0.3">
      <c r="A28" s="1">
        <v>8.8800000000000008</v>
      </c>
      <c r="B28" s="5">
        <f t="shared" si="3"/>
        <v>1.0000000000000009</v>
      </c>
      <c r="C28" s="2"/>
      <c r="D28" s="1"/>
      <c r="E28" s="1"/>
      <c r="F28" s="1"/>
      <c r="G28" s="1"/>
    </row>
    <row r="29" spans="1:8" x14ac:dyDescent="0.3">
      <c r="A29" s="1">
        <v>7.88</v>
      </c>
      <c r="B29" s="4">
        <f t="shared" si="3"/>
        <v>-1.0000000000000009</v>
      </c>
      <c r="C29" s="2">
        <v>18</v>
      </c>
      <c r="D29" s="1">
        <f t="shared" si="0"/>
        <v>0.4572</v>
      </c>
      <c r="E29" s="1">
        <f>D27-D29</f>
        <v>0</v>
      </c>
      <c r="F29" s="1">
        <f t="shared" si="1"/>
        <v>7.8718000000000004</v>
      </c>
      <c r="G29" s="1">
        <f t="shared" si="2"/>
        <v>-8.199999999999541E-3</v>
      </c>
    </row>
    <row r="30" spans="1:8" x14ac:dyDescent="0.3">
      <c r="A30" s="1">
        <v>8.8800000000000008</v>
      </c>
      <c r="B30" s="5">
        <f t="shared" si="3"/>
        <v>1.0000000000000009</v>
      </c>
      <c r="C30" s="2"/>
      <c r="D30" s="1"/>
      <c r="E30" s="1"/>
      <c r="F30" s="1"/>
      <c r="G30" s="1"/>
    </row>
    <row r="31" spans="1:8" x14ac:dyDescent="0.3">
      <c r="A31" s="1">
        <v>7.88</v>
      </c>
      <c r="B31" s="4">
        <f t="shared" si="3"/>
        <v>-1.0000000000000009</v>
      </c>
      <c r="C31" s="2">
        <v>18</v>
      </c>
      <c r="D31" s="1">
        <f t="shared" si="0"/>
        <v>0.4572</v>
      </c>
      <c r="E31" s="1">
        <f>D29-D31</f>
        <v>0</v>
      </c>
      <c r="F31" s="1">
        <f t="shared" si="1"/>
        <v>7.8718000000000004</v>
      </c>
      <c r="G31" s="1">
        <f t="shared" si="2"/>
        <v>-8.199999999999541E-3</v>
      </c>
    </row>
    <row r="32" spans="1:8" x14ac:dyDescent="0.3">
      <c r="A32" s="1">
        <v>17.88</v>
      </c>
      <c r="B32" s="5">
        <f t="shared" si="3"/>
        <v>10</v>
      </c>
      <c r="C32" s="2"/>
      <c r="D32" s="1"/>
      <c r="E32" s="1"/>
      <c r="F32" s="1"/>
      <c r="G32" s="1"/>
    </row>
    <row r="33" spans="1:7" x14ac:dyDescent="0.3">
      <c r="A33" s="1">
        <v>7.88</v>
      </c>
      <c r="B33" s="4">
        <f t="shared" si="3"/>
        <v>-10</v>
      </c>
      <c r="C33" s="2">
        <v>18</v>
      </c>
      <c r="D33" s="1">
        <f t="shared" si="0"/>
        <v>0.4572</v>
      </c>
      <c r="E33" s="1">
        <f>D31-D33</f>
        <v>0</v>
      </c>
      <c r="F33" s="1">
        <f t="shared" si="1"/>
        <v>7.8718000000000004</v>
      </c>
      <c r="G33" s="1">
        <f t="shared" si="2"/>
        <v>-8.199999999999541E-3</v>
      </c>
    </row>
    <row r="34" spans="1:7" x14ac:dyDescent="0.3">
      <c r="A34" s="1">
        <v>37.880000000000003</v>
      </c>
      <c r="B34" s="5">
        <f t="shared" si="3"/>
        <v>30.000000000000004</v>
      </c>
      <c r="C34" s="2"/>
      <c r="D34" s="1"/>
      <c r="E34" s="1"/>
      <c r="F34" s="1"/>
      <c r="G34" s="1"/>
    </row>
    <row r="35" spans="1:7" x14ac:dyDescent="0.3">
      <c r="A35" s="1">
        <v>7.88</v>
      </c>
      <c r="B35" s="4">
        <f t="shared" si="3"/>
        <v>-30.000000000000004</v>
      </c>
      <c r="C35" s="2">
        <v>18</v>
      </c>
      <c r="D35" s="1">
        <f t="shared" si="0"/>
        <v>0.4572</v>
      </c>
      <c r="E35" s="1">
        <f>D33-D35</f>
        <v>0</v>
      </c>
      <c r="F35" s="1">
        <f t="shared" si="1"/>
        <v>7.8718000000000004</v>
      </c>
      <c r="G35" s="1">
        <f t="shared" si="2"/>
        <v>-8.199999999999541E-3</v>
      </c>
    </row>
    <row r="36" spans="1:7" x14ac:dyDescent="0.3">
      <c r="A36" s="2"/>
      <c r="B36" s="2"/>
      <c r="C36" s="2"/>
      <c r="D36" s="1"/>
      <c r="E36" s="2"/>
      <c r="F36" s="2"/>
    </row>
    <row r="37" spans="1:7" x14ac:dyDescent="0.3">
      <c r="A37" s="2"/>
      <c r="B37" s="2"/>
      <c r="C37" s="2"/>
      <c r="D37" s="1"/>
      <c r="E37" s="2"/>
      <c r="F37" s="2"/>
    </row>
    <row r="38" spans="1:7" x14ac:dyDescent="0.3">
      <c r="A38" s="2"/>
      <c r="B38" s="2"/>
      <c r="C38" s="2"/>
      <c r="D38" s="1"/>
      <c r="E38" s="2"/>
      <c r="F38" s="2"/>
    </row>
    <row r="39" spans="1:7" x14ac:dyDescent="0.3">
      <c r="A39" s="2"/>
      <c r="C39" s="2"/>
      <c r="D39" s="2"/>
    </row>
    <row r="40" spans="1:7" x14ac:dyDescent="0.3">
      <c r="A40" s="2"/>
    </row>
    <row r="41" spans="1:7" x14ac:dyDescent="0.3">
      <c r="A41" s="2"/>
    </row>
    <row r="42" spans="1:7" x14ac:dyDescent="0.3">
      <c r="A42" s="2"/>
    </row>
    <row r="43" spans="1:7" x14ac:dyDescent="0.3">
      <c r="A43" s="2"/>
    </row>
    <row r="44" spans="1:7" x14ac:dyDescent="0.3">
      <c r="A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Crutcher</dc:creator>
  <cp:lastModifiedBy>Nathaniel Crutcher</cp:lastModifiedBy>
  <dcterms:created xsi:type="dcterms:W3CDTF">2026-09-15T00:18:22Z</dcterms:created>
  <dcterms:modified xsi:type="dcterms:W3CDTF">2026-09-15T00:40:08Z</dcterms:modified>
</cp:coreProperties>
</file>